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justr\Downloads\"/>
    </mc:Choice>
  </mc:AlternateContent>
  <xr:revisionPtr revIDLastSave="0" documentId="13_ncr:1_{481161D0-9DAA-48E5-B7EB-9C742EB5974C}" xr6:coauthVersionLast="47" xr6:coauthVersionMax="47" xr10:uidLastSave="{00000000-0000-0000-0000-000000000000}"/>
  <bookViews>
    <workbookView xWindow="-110" yWindow="-110" windowWidth="25820" windowHeight="15500" tabRatio="500" activeTab="4" xr2:uid="{00000000-000D-0000-FFFF-FFFF00000000}"/>
  </bookViews>
  <sheets>
    <sheet name="README" sheetId="1" r:id="rId1"/>
    <sheet name="Budget Tracker" sheetId="2" r:id="rId2"/>
    <sheet name="Contractor Bid Comparison" sheetId="3" r:id="rId3"/>
    <sheet name="Goal Seek Setup" sheetId="4" r:id="rId4"/>
    <sheet name="Bibliograph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9" i="4" l="1"/>
  <c r="D9" i="3"/>
  <c r="C9" i="3"/>
  <c r="B9" i="3"/>
  <c r="C12" i="2"/>
  <c r="B12" i="2"/>
  <c r="F11" i="2"/>
  <c r="G11" i="2" s="1"/>
  <c r="E11" i="2"/>
  <c r="D11" i="2"/>
  <c r="E10" i="2"/>
  <c r="F10" i="2" s="1"/>
  <c r="D10" i="2"/>
  <c r="G10" i="2" s="1"/>
  <c r="E9" i="2"/>
  <c r="F9" i="2" s="1"/>
  <c r="D9" i="2"/>
  <c r="G9" i="2" s="1"/>
  <c r="F8" i="2"/>
  <c r="G8" i="2" s="1"/>
  <c r="E8" i="2"/>
  <c r="D8" i="2"/>
  <c r="E7" i="2"/>
  <c r="F7" i="2" s="1"/>
  <c r="F12" i="2" s="1"/>
  <c r="D7" i="2"/>
  <c r="G7" i="2" s="1"/>
  <c r="D12" i="2" l="1"/>
  <c r="G12" i="2" s="1"/>
  <c r="E12" i="2"/>
</calcChain>
</file>

<file path=xl/sharedStrings.xml><?xml version="1.0" encoding="utf-8"?>
<sst xmlns="http://schemas.openxmlformats.org/spreadsheetml/2006/main" count="89" uniqueCount="88">
  <si>
    <t>Program Budget &amp; Cost Variance Tracker</t>
  </si>
  <si>
    <t>A practice project modeled loosely on a real, currently-in-the-news Air Force program</t>
  </si>
  <si>
    <t>What this project is</t>
  </si>
  <si>
    <t>Why I picked this scenario</t>
  </si>
  <si>
    <t>What's real vs. what I made up</t>
  </si>
  <si>
    <t>How the workbook is organized</t>
  </si>
  <si>
    <t>Budget Tracker: planned vs. actual spending by category, with a Scale Factor cell so the whole thing can size up or down without touching any formulas. Contractor Bid Comparison: three fictional contractor bids for a task order, set up to be built out as Scenarios in Excel's Scenario Manager. Goal Seek Setup: a budget-cap scenario set up for Excel's Goal Seek tool, to solve backwards for the max labor rate I could afford. Bibliography: every source I used, with live links, so anyone (including me in six months) can verify where the real-world numbers came from.</t>
  </si>
  <si>
    <t>Color key</t>
  </si>
  <si>
    <t>Blue text = an input cell you can change. Black text = a formula, don't type over it. Yellow fill = a key assumption or a cell I want to flag as important.</t>
  </si>
  <si>
    <t>Auxiliary Systems Support - B-52 CERP Integration (fictional sub-program)</t>
  </si>
  <si>
    <t>Mock program budget, in $ thousands (base case) -- scale it with the factor below</t>
  </si>
  <si>
    <t>Scale Factor</t>
  </si>
  <si>
    <t>&lt;- change this (e.g. 100 = roughly $50M-scale program)</t>
  </si>
  <si>
    <t>Category</t>
  </si>
  <si>
    <t>Planned (Base, $K)</t>
  </si>
  <si>
    <t>Actual (Base, $K)</t>
  </si>
  <si>
    <t>Planned (Scaled, $K)</t>
  </si>
  <si>
    <t>Actual (Scaled, $K)</t>
  </si>
  <si>
    <t>Variance ($K)</t>
  </si>
  <si>
    <t>Variance (%)</t>
  </si>
  <si>
    <t>Engine &amp; Powerplant Procurement</t>
  </si>
  <si>
    <t>Systems Integration &amp; Testing</t>
  </si>
  <si>
    <t>Sustainment &amp; Support Equipment</t>
  </si>
  <si>
    <t>Program Management &amp; Overhead</t>
  </si>
  <si>
    <t>Contingency Reserve</t>
  </si>
  <si>
    <t>TOTAL</t>
  </si>
  <si>
    <t>Note: these figures are fictional and sized for an easy walkthrough. The category weighting -- engine procurement as the biggest line item, contingency getting eaten up first -- loosely mirrors the pattern GAO described in the real CERP program (see Bibliography tab), but these are not the real program's numbers.</t>
  </si>
  <si>
    <t>Task Order: Nacelle &amp; Strut Integration Support (fictional)</t>
  </si>
  <si>
    <t>3 fictional contractor bids -- build these as Scenarios in Excel (Data tab &gt; What-If Analysis &gt; Scenario Manager)</t>
  </si>
  <si>
    <t>Input / Output</t>
  </si>
  <si>
    <t>Bid A - Contractor 1</t>
  </si>
  <si>
    <t>Bid B - Contractor 2</t>
  </si>
  <si>
    <t>Bid C - Contractor 3</t>
  </si>
  <si>
    <t>Labor Rate ($/hr)</t>
  </si>
  <si>
    <t>Estimated Labor Hours</t>
  </si>
  <si>
    <t>Materials &amp; Equipment Cost ($K)</t>
  </si>
  <si>
    <t>Estimated Timeline (Months)</t>
  </si>
  <si>
    <t>Total Bid ($K)</t>
  </si>
  <si>
    <t>Budget Cap Scenario</t>
  </si>
  <si>
    <t>Use Excel's Goal Seek to solve for the max labor rate I could afford</t>
  </si>
  <si>
    <t>Remaining Contingency Budget ($K)</t>
  </si>
  <si>
    <t>Fixed Labor Hours</t>
  </si>
  <si>
    <t>Fixed Materials &amp; Equipment Cost ($K)</t>
  </si>
  <si>
    <t>Labor Rate ($/hr) - this is the cell Goal Seek solves for</t>
  </si>
  <si>
    <t>Resulting Total Bid ($K)</t>
  </si>
  <si>
    <t>Target: Total Bid should equal the Contingency Budget above</t>
  </si>
  <si>
    <t>Bibliography / Sources</t>
  </si>
  <si>
    <t>Every real-world fact and figure referenced in this workbook is sourced below. Click a link to open it.</t>
  </si>
  <si>
    <t>#</t>
  </si>
  <si>
    <t>Source</t>
  </si>
  <si>
    <t>Publisher</t>
  </si>
  <si>
    <t>Date</t>
  </si>
  <si>
    <t>What I used it for</t>
  </si>
  <si>
    <t>GAO Report: B-52 Modernization Faces Cost, Schedule, Performance Challenges</t>
  </si>
  <si>
    <t>Government Accountability Office (via Military Times coverage)</t>
  </si>
  <si>
    <t>Jul 31, 2026</t>
  </si>
  <si>
    <t>The core finding I based this whole project on: CERP costs up ~$3B since 2023, ~15-month delay, production planned before flight testing is done.</t>
  </si>
  <si>
    <t>Air Force's Plan to Upgrade Its 70-Year-Old B-52 Bombers Is Billions Over Budget, Watchdog Finds</t>
  </si>
  <si>
    <t>Sandboxx News</t>
  </si>
  <si>
    <t>Aug 2026</t>
  </si>
  <si>
    <t>Confirmed the $3B/15-month figures and the six GAO recommendations, including delaying the production decision.</t>
  </si>
  <si>
    <t>Most B-52 Upgrades Behind Schedule or Over Budget, GAO Finds</t>
  </si>
  <si>
    <t>The Center Square (via yournews.com)</t>
  </si>
  <si>
    <t>Aug 8, 2026</t>
  </si>
  <si>
    <t>Gave me the more precise numbers: engine program costs up 38% since 2018 to $15B+, 32-month schedule slip, and the overall $21B / 13-sub-program total.</t>
  </si>
  <si>
    <t>The B-52J Bomber Has a Problem: $3 Billion Over Budget</t>
  </si>
  <si>
    <t>19FortyFive</t>
  </si>
  <si>
    <t>Extra confirmation on the 38%-over-budget figure and background on the B-52J redesignation.</t>
  </si>
  <si>
    <t>Rolls-Royce Wins B-52 Re-engining Program Worth $2.6 Billion</t>
  </si>
  <si>
    <t>Air &amp; Space Forces Magazine</t>
  </si>
  <si>
    <t>Sep 24, 2021</t>
  </si>
  <si>
    <t>Real contract reference for the engine supplier side of CERP -- Rolls-Royce awarded up to $2.6B for 608 F130 engines.</t>
  </si>
  <si>
    <t>Boeing Awarded $2 Billion Contract to Continue Work on B-52's New Engines</t>
  </si>
  <si>
    <t>The Aviationist</t>
  </si>
  <si>
    <t>Dec 2025</t>
  </si>
  <si>
    <t>Real contract reference for the integration side of CERP -- Boeing's $2.04B task order for post-CDR systems integration and testing.</t>
  </si>
  <si>
    <t>USAspending.gov</t>
  </si>
  <si>
    <t>U.S. Department of the Treasury</t>
  </si>
  <si>
    <t>Accessed Aug 2026</t>
  </si>
  <si>
    <t>Official federal spending database -- used to understand how real federal contract/award data is structured and categorized (object class, agency, award type) before building my own mock categories.</t>
  </si>
  <si>
    <t>Tracking Federal Awards: USAspending.gov and Other Data Sources</t>
  </si>
  <si>
    <t>Congressional Research Service, via Congress.gov</t>
  </si>
  <si>
    <t>2026</t>
  </si>
  <si>
    <t>Background on how USAspending.gov works and its legal basis (FFATA 2006, DATA Act 2014), plus its known data-quality limitations -- useful context for understanding federal budget transparency tools.</t>
  </si>
  <si>
    <t>Note: links were live and verified as of August 2026. If a link breaks in the future, search the article title -- most outlets keep archives.</t>
  </si>
  <si>
    <t>This is a mock program budget I built to practice the kind of cost-variance tracking, contractor bid comparison, and budget-constraint analysis that comes up in government program/budget analyst work. Everything in the Budget Tracker, Contractor Bid Comparison, and Goal Seek tabs is a fictional program I made up; it is NOT real budget or contract data from any actual government program.</t>
  </si>
  <si>
    <t>I wanted the project to be grounded in something real instead of totally made up out of nowhere, so I based it loosely on the Air Force's B-52 Commercial Engine Replacement Program (CERP), which has been in the news this summer for running way over budget. The Government Accountability Office (GAO), Congress's official watchdog agency for how federal money gets spent, put out a report on July 31, 2026 finding that CERP's costs have jumped about $3 billion since 2023. This brought the program to roughly $15.4 billion, with the engine's in-service date pushed back more than 15 months. GAO also flagged that the Air Force plans to start production before finishing flight testing, which is part of why costs and schedule keep slipping, and made six recommendations, including holding off on the production decision until the program office actually reassesses the cost growth and schedule risk.</t>
  </si>
  <si>
    <r>
      <rPr>
        <b/>
        <sz val="11"/>
        <color theme="1"/>
        <rFont val="Calibri"/>
        <family val="2"/>
      </rPr>
      <t>Real</t>
    </r>
    <r>
      <rPr>
        <sz val="11"/>
        <color theme="1"/>
        <rFont val="Calibri"/>
        <family val="2"/>
        <charset val="1"/>
      </rPr>
      <t xml:space="preserve">: the program name (CERP), the fact that it's replacing the B-52's engines with Rolls-Royce F130 engines, the overall B-52 modernization program cost (~$21 billion, 13 sub-programs), the GAO finding of a ~$3 billion cost increase and 15+ month delay, and the real contract awards to Rolls-Royce (2021) and Boeing (2025) cited in the bibliography tab. </t>
    </r>
    <r>
      <rPr>
        <b/>
        <sz val="11"/>
        <color theme="1"/>
        <rFont val="Calibri"/>
        <family val="2"/>
      </rPr>
      <t>Made up</t>
    </r>
    <r>
      <rPr>
        <sz val="11"/>
        <color theme="1"/>
        <rFont val="Calibri"/>
        <family val="2"/>
      </rPr>
      <t>: literally every dollar figure inside the Budget Tracker, Contractor Bid Comparison, and Goal Seek tabs. I don't have access to CERP's actual internal budget breakdown (it isn't fully public at that level of detail), so I built a small, fictional sub-program 'Auxiliary Systems Support -- B-52 CERP Integration,' sized to be easy to walk through, not to represent the real program's real numbers.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</si>
</sst>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quot;#,##0\);\-"/>
    <numFmt numFmtId="165" formatCode="0.0%;\(0.0%\);\-"/>
  </numFmts>
  <fonts count="11" x14ac:knownFonts="1">
    <font>
      <sz val="11"/>
      <color theme="1"/>
      <name val="Calibri"/>
      <family val="2"/>
      <charset val="1"/>
    </font>
    <font>
      <b/>
      <sz val="14"/>
      <name val="Times New Roman"/>
      <charset val="1"/>
    </font>
    <font>
      <i/>
      <sz val="10"/>
      <color rgb="FF595959"/>
      <name val="Times New Roman"/>
      <charset val="1"/>
    </font>
    <font>
      <b/>
      <sz val="11"/>
      <name val="Times New Roman"/>
      <charset val="1"/>
    </font>
    <font>
      <sz val="11"/>
      <color rgb="FF0000FF"/>
      <name val="Times New Roman"/>
      <charset val="1"/>
    </font>
    <font>
      <b/>
      <sz val="11"/>
      <color rgb="FFFFFFFF"/>
      <name val="Times New Roman"/>
      <charset val="1"/>
    </font>
    <font>
      <sz val="11"/>
      <color rgb="FF000000"/>
      <name val="Times New Roman"/>
      <charset val="1"/>
    </font>
    <font>
      <u/>
      <sz val="11"/>
      <color rgb="FF0563C1"/>
      <name val="Times New Roman"/>
      <charset val="1"/>
    </font>
    <font>
      <b/>
      <sz val="11"/>
      <color theme="1"/>
      <name val="Calibri"/>
      <family val="2"/>
    </font>
    <font>
      <sz val="11"/>
      <color theme="1"/>
      <name val="Calibri"/>
      <family val="2"/>
    </font>
    <font>
      <i/>
      <sz val="10"/>
      <color rgb="FF595959"/>
      <name val="Times New Roman"/>
      <family val="1"/>
    </font>
  </fonts>
  <fills count="6">
    <fill>
      <patternFill patternType="none"/>
    </fill>
    <fill>
      <patternFill patternType="gray125"/>
    </fill>
    <fill>
      <patternFill patternType="solid">
        <fgColor rgb="FFFFFF00"/>
        <bgColor rgb="FFFFFF00"/>
      </patternFill>
    </fill>
    <fill>
      <patternFill patternType="solid">
        <fgColor rgb="FF1F4E78"/>
        <bgColor rgb="FF003366"/>
      </patternFill>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27">
    <xf numFmtId="0" fontId="0" fillId="0" borderId="0" xfId="0"/>
    <xf numFmtId="0" fontId="2" fillId="0" borderId="0" xfId="0" applyFont="1"/>
    <xf numFmtId="0" fontId="3" fillId="0" borderId="0" xfId="0" applyFont="1"/>
    <xf numFmtId="0" fontId="1" fillId="0" borderId="0" xfId="0" applyFont="1"/>
    <xf numFmtId="0" fontId="3" fillId="0" borderId="0" xfId="0" applyFont="1" applyAlignment="1">
      <alignment vertical="top" wrapText="1"/>
    </xf>
    <xf numFmtId="0" fontId="0" fillId="0" borderId="0" xfId="0" applyAlignment="1">
      <alignment vertical="top" wrapText="1"/>
    </xf>
    <xf numFmtId="0" fontId="4" fillId="2" borderId="1" xfId="0" applyFont="1" applyFill="1" applyBorder="1"/>
    <xf numFmtId="0" fontId="5" fillId="3" borderId="1" xfId="0" applyFont="1" applyFill="1" applyBorder="1" applyAlignment="1">
      <alignment horizontal="center" vertical="center" wrapText="1"/>
    </xf>
    <xf numFmtId="0" fontId="6" fillId="0" borderId="1" xfId="0" applyFont="1" applyBorder="1"/>
    <xf numFmtId="164" fontId="4" fillId="0" borderId="1" xfId="0" applyNumberFormat="1" applyFont="1" applyBorder="1"/>
    <xf numFmtId="164" fontId="0" fillId="0" borderId="1" xfId="0" applyNumberFormat="1" applyBorder="1"/>
    <xf numFmtId="165" fontId="0" fillId="0" borderId="1" xfId="0" applyNumberFormat="1" applyBorder="1"/>
    <xf numFmtId="0" fontId="3" fillId="4" borderId="1" xfId="0" applyFont="1" applyFill="1" applyBorder="1"/>
    <xf numFmtId="164" fontId="3" fillId="4" borderId="1" xfId="0" applyNumberFormat="1" applyFont="1" applyFill="1" applyBorder="1"/>
    <xf numFmtId="165" fontId="3" fillId="4" borderId="1" xfId="0" applyNumberFormat="1" applyFont="1" applyFill="1" applyBorder="1"/>
    <xf numFmtId="0" fontId="4" fillId="0" borderId="1" xfId="0" applyFont="1" applyBorder="1"/>
    <xf numFmtId="0" fontId="3" fillId="5" borderId="1" xfId="0" applyFont="1" applyFill="1" applyBorder="1"/>
    <xf numFmtId="164" fontId="3" fillId="5" borderId="1" xfId="0" applyNumberFormat="1" applyFont="1" applyFill="1" applyBorder="1"/>
    <xf numFmtId="0" fontId="6" fillId="0" borderId="0" xfId="0" applyFont="1"/>
    <xf numFmtId="0" fontId="3" fillId="5" borderId="0" xfId="0" applyFont="1" applyFill="1"/>
    <xf numFmtId="0" fontId="6" fillId="0" borderId="1" xfId="0" applyFont="1" applyBorder="1" applyAlignment="1">
      <alignment vertical="top"/>
    </xf>
    <xf numFmtId="0" fontId="7" fillId="0" borderId="1" xfId="0" applyFont="1" applyBorder="1" applyAlignment="1">
      <alignment vertical="top" wrapText="1"/>
    </xf>
    <xf numFmtId="0" fontId="6" fillId="0" borderId="1" xfId="0" applyFont="1" applyBorder="1" applyAlignment="1">
      <alignment vertical="top" wrapText="1"/>
    </xf>
    <xf numFmtId="0" fontId="9" fillId="0" borderId="0" xfId="0" applyFont="1" applyAlignment="1">
      <alignment vertical="top" wrapText="1"/>
    </xf>
    <xf numFmtId="0" fontId="2" fillId="0" borderId="0" xfId="0" applyFont="1" applyAlignment="1">
      <alignment vertical="top" wrapText="1"/>
    </xf>
    <xf numFmtId="0" fontId="3" fillId="0" borderId="0" xfId="0" applyFont="1"/>
    <xf numFmtId="0" fontId="10"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www.congress.gov/crs-product/R44027" TargetMode="External"/><Relationship Id="rId3" Type="http://schemas.openxmlformats.org/officeDocument/2006/relationships/hyperlink" Target="https://yournews.com/2026/08/08/7149388/most-b-52-upgrades-behind-schedule-or-over-budget-gao-finds/" TargetMode="External"/><Relationship Id="rId7" Type="http://schemas.openxmlformats.org/officeDocument/2006/relationships/hyperlink" Target="https://www.usaspending.gov/" TargetMode="External"/><Relationship Id="rId2" Type="http://schemas.openxmlformats.org/officeDocument/2006/relationships/hyperlink" Target="https://www.sandboxx.us/news/air-forces-plan-to-upgrade-its-70-year-old-b-52-bombers-is-billions-over-budget-watchdog-finds" TargetMode="External"/><Relationship Id="rId1" Type="http://schemas.openxmlformats.org/officeDocument/2006/relationships/hyperlink" Target="https://www.militarytimes.com/industry/techwatch/2026/07/31/b-52-modernization-faces-delays-cost-increases-watchdog-says/" TargetMode="External"/><Relationship Id="rId6" Type="http://schemas.openxmlformats.org/officeDocument/2006/relationships/hyperlink" Target="https://theaviationist.com/2025/12/24/boeing-contract-continue-work-b-52-cerp/" TargetMode="External"/><Relationship Id="rId5" Type="http://schemas.openxmlformats.org/officeDocument/2006/relationships/hyperlink" Target="https://www.airandspaceforces.com/rolls-royce-wins-b-52-re-engining-program-worth-2-6-billion/" TargetMode="External"/><Relationship Id="rId4" Type="http://schemas.openxmlformats.org/officeDocument/2006/relationships/hyperlink" Target="https://www.19fortyfive.com/2026/08/the-b-52j-bomber-has-a-problem-3-billion-over-budget-as-the-b-21-raider-preps-for-us-air-force-servi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opLeftCell="A12" zoomScaleNormal="100" workbookViewId="0">
      <selection activeCell="B17" sqref="B17"/>
    </sheetView>
  </sheetViews>
  <sheetFormatPr defaultColWidth="8.6328125" defaultRowHeight="14.5" x14ac:dyDescent="0.35"/>
  <cols>
    <col min="1" max="1" width="30" customWidth="1"/>
    <col min="2" max="2" width="95" customWidth="1"/>
  </cols>
  <sheetData>
    <row r="1" spans="1:2" ht="17.5" x14ac:dyDescent="0.35">
      <c r="A1" s="3" t="s">
        <v>0</v>
      </c>
    </row>
    <row r="2" spans="1:2" x14ac:dyDescent="0.35">
      <c r="A2" s="1" t="s">
        <v>1</v>
      </c>
    </row>
    <row r="4" spans="1:2" ht="90" customHeight="1" x14ac:dyDescent="0.35">
      <c r="A4" s="4" t="s">
        <v>2</v>
      </c>
      <c r="B4" s="5" t="s">
        <v>85</v>
      </c>
    </row>
    <row r="6" spans="1:2" ht="150" customHeight="1" x14ac:dyDescent="0.35">
      <c r="A6" s="4" t="s">
        <v>3</v>
      </c>
      <c r="B6" s="5" t="s">
        <v>86</v>
      </c>
    </row>
    <row r="8" spans="1:2" ht="135" customHeight="1" x14ac:dyDescent="0.35">
      <c r="A8" s="4" t="s">
        <v>4</v>
      </c>
      <c r="B8" s="23" t="s">
        <v>87</v>
      </c>
    </row>
    <row r="10" spans="1:2" ht="90" customHeight="1" x14ac:dyDescent="0.35">
      <c r="A10" s="4" t="s">
        <v>5</v>
      </c>
      <c r="B10" s="5" t="s">
        <v>6</v>
      </c>
    </row>
    <row r="12" spans="1:2" ht="60" customHeight="1" x14ac:dyDescent="0.35">
      <c r="A12" s="4" t="s">
        <v>7</v>
      </c>
      <c r="B12" s="5" t="s">
        <v>8</v>
      </c>
    </row>
    <row r="14" spans="1:2" ht="60" customHeight="1" x14ac:dyDescent="0.35">
      <c r="A14" s="4"/>
      <c r="B14" s="5"/>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
  <sheetViews>
    <sheetView zoomScaleNormal="100" workbookViewId="0">
      <pane ySplit="6" topLeftCell="A7" activePane="bottomLeft" state="frozen"/>
      <selection pane="bottomLeft"/>
    </sheetView>
  </sheetViews>
  <sheetFormatPr defaultColWidth="8.6328125" defaultRowHeight="14.5" x14ac:dyDescent="0.35"/>
  <cols>
    <col min="1" max="1" width="34" customWidth="1"/>
    <col min="2" max="6" width="16" customWidth="1"/>
    <col min="7" max="7" width="14" customWidth="1"/>
  </cols>
  <sheetData>
    <row r="1" spans="1:7" ht="17.5" x14ac:dyDescent="0.35">
      <c r="A1" s="3" t="s">
        <v>9</v>
      </c>
    </row>
    <row r="2" spans="1:7" x14ac:dyDescent="0.35">
      <c r="A2" s="1" t="s">
        <v>10</v>
      </c>
    </row>
    <row r="4" spans="1:7" x14ac:dyDescent="0.35">
      <c r="A4" s="2" t="s">
        <v>11</v>
      </c>
      <c r="B4" s="6">
        <v>1</v>
      </c>
      <c r="C4" s="1" t="s">
        <v>12</v>
      </c>
    </row>
    <row r="6" spans="1:7" ht="30" customHeight="1" x14ac:dyDescent="0.35">
      <c r="A6" s="7" t="s">
        <v>13</v>
      </c>
      <c r="B6" s="7" t="s">
        <v>14</v>
      </c>
      <c r="C6" s="7" t="s">
        <v>15</v>
      </c>
      <c r="D6" s="7" t="s">
        <v>16</v>
      </c>
      <c r="E6" s="7" t="s">
        <v>17</v>
      </c>
      <c r="F6" s="7" t="s">
        <v>18</v>
      </c>
      <c r="G6" s="7" t="s">
        <v>19</v>
      </c>
    </row>
    <row r="7" spans="1:7" x14ac:dyDescent="0.35">
      <c r="A7" s="8" t="s">
        <v>20</v>
      </c>
      <c r="B7" s="9">
        <v>200</v>
      </c>
      <c r="C7" s="9">
        <v>235</v>
      </c>
      <c r="D7" s="10">
        <f t="shared" ref="D7:E11" si="0">B7*$B$4</f>
        <v>200</v>
      </c>
      <c r="E7" s="10">
        <f t="shared" si="0"/>
        <v>235</v>
      </c>
      <c r="F7" s="10">
        <f>E7-D7</f>
        <v>35</v>
      </c>
      <c r="G7" s="11">
        <f t="shared" ref="G7:G12" si="1">IF(D7=0,0,F7/D7)</f>
        <v>0.17499999999999999</v>
      </c>
    </row>
    <row r="8" spans="1:7" x14ac:dyDescent="0.35">
      <c r="A8" s="8" t="s">
        <v>21</v>
      </c>
      <c r="B8" s="9">
        <v>120</v>
      </c>
      <c r="C8" s="9">
        <v>140</v>
      </c>
      <c r="D8" s="10">
        <f t="shared" si="0"/>
        <v>120</v>
      </c>
      <c r="E8" s="10">
        <f t="shared" si="0"/>
        <v>140</v>
      </c>
      <c r="F8" s="10">
        <f>E8-D8</f>
        <v>20</v>
      </c>
      <c r="G8" s="11">
        <f t="shared" si="1"/>
        <v>0.16666666666666666</v>
      </c>
    </row>
    <row r="9" spans="1:7" x14ac:dyDescent="0.35">
      <c r="A9" s="8" t="s">
        <v>22</v>
      </c>
      <c r="B9" s="9">
        <v>80</v>
      </c>
      <c r="C9" s="9">
        <v>75</v>
      </c>
      <c r="D9" s="10">
        <f t="shared" si="0"/>
        <v>80</v>
      </c>
      <c r="E9" s="10">
        <f t="shared" si="0"/>
        <v>75</v>
      </c>
      <c r="F9" s="10">
        <f>E9-D9</f>
        <v>-5</v>
      </c>
      <c r="G9" s="11">
        <f t="shared" si="1"/>
        <v>-6.25E-2</v>
      </c>
    </row>
    <row r="10" spans="1:7" x14ac:dyDescent="0.35">
      <c r="A10" s="8" t="s">
        <v>23</v>
      </c>
      <c r="B10" s="9">
        <v>60</v>
      </c>
      <c r="C10" s="9">
        <v>65</v>
      </c>
      <c r="D10" s="10">
        <f t="shared" si="0"/>
        <v>60</v>
      </c>
      <c r="E10" s="10">
        <f t="shared" si="0"/>
        <v>65</v>
      </c>
      <c r="F10" s="10">
        <f>E10-D10</f>
        <v>5</v>
      </c>
      <c r="G10" s="11">
        <f t="shared" si="1"/>
        <v>8.3333333333333329E-2</v>
      </c>
    </row>
    <row r="11" spans="1:7" x14ac:dyDescent="0.35">
      <c r="A11" s="8" t="s">
        <v>24</v>
      </c>
      <c r="B11" s="9">
        <v>40</v>
      </c>
      <c r="C11" s="9">
        <v>10</v>
      </c>
      <c r="D11" s="10">
        <f t="shared" si="0"/>
        <v>40</v>
      </c>
      <c r="E11" s="10">
        <f t="shared" si="0"/>
        <v>10</v>
      </c>
      <c r="F11" s="10">
        <f>E11-D11</f>
        <v>-30</v>
      </c>
      <c r="G11" s="11">
        <f t="shared" si="1"/>
        <v>-0.75</v>
      </c>
    </row>
    <row r="12" spans="1:7" x14ac:dyDescent="0.35">
      <c r="A12" s="12" t="s">
        <v>25</v>
      </c>
      <c r="B12" s="13">
        <f>SUM(B7:B11)</f>
        <v>500</v>
      </c>
      <c r="C12" s="13">
        <f>SUM(C7:C11)</f>
        <v>525</v>
      </c>
      <c r="D12" s="13">
        <f>SUM(D7:D11)</f>
        <v>500</v>
      </c>
      <c r="E12" s="13">
        <f>SUM(E7:E11)</f>
        <v>525</v>
      </c>
      <c r="F12" s="13">
        <f>SUM(F7:F11)</f>
        <v>25</v>
      </c>
      <c r="G12" s="14">
        <f t="shared" si="1"/>
        <v>0.05</v>
      </c>
    </row>
    <row r="14" spans="1:7" ht="45" customHeight="1" x14ac:dyDescent="0.35">
      <c r="A14" s="24" t="s">
        <v>26</v>
      </c>
      <c r="B14" s="24"/>
      <c r="C14" s="24"/>
      <c r="D14" s="24"/>
      <c r="E14" s="24"/>
      <c r="F14" s="24"/>
      <c r="G14" s="24"/>
    </row>
  </sheetData>
  <mergeCells count="1">
    <mergeCell ref="A14:G1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zoomScaleNormal="100" workbookViewId="0">
      <selection activeCell="E20" sqref="E20"/>
    </sheetView>
  </sheetViews>
  <sheetFormatPr defaultColWidth="8.6328125" defaultRowHeight="14.5" x14ac:dyDescent="0.35"/>
  <cols>
    <col min="1" max="1" width="30" customWidth="1"/>
    <col min="2" max="6" width="16" customWidth="1"/>
  </cols>
  <sheetData>
    <row r="1" spans="1:6" ht="17.5" x14ac:dyDescent="0.35">
      <c r="A1" s="3" t="s">
        <v>27</v>
      </c>
    </row>
    <row r="2" spans="1:6" x14ac:dyDescent="0.35">
      <c r="A2" s="1" t="s">
        <v>28</v>
      </c>
    </row>
    <row r="4" spans="1:6" ht="30" customHeight="1" x14ac:dyDescent="0.35">
      <c r="A4" s="7" t="s">
        <v>29</v>
      </c>
      <c r="B4" s="7" t="s">
        <v>30</v>
      </c>
      <c r="C4" s="7" t="s">
        <v>31</v>
      </c>
      <c r="D4" s="7" t="s">
        <v>32</v>
      </c>
    </row>
    <row r="5" spans="1:6" x14ac:dyDescent="0.35">
      <c r="A5" s="8" t="s">
        <v>33</v>
      </c>
      <c r="B5" s="9">
        <v>145</v>
      </c>
      <c r="C5" s="9">
        <v>160</v>
      </c>
      <c r="D5" s="9">
        <v>130</v>
      </c>
    </row>
    <row r="6" spans="1:6" x14ac:dyDescent="0.35">
      <c r="A6" s="8" t="s">
        <v>34</v>
      </c>
      <c r="B6" s="15">
        <v>4000</v>
      </c>
      <c r="C6" s="15">
        <v>3400</v>
      </c>
      <c r="D6" s="15">
        <v>4600</v>
      </c>
    </row>
    <row r="7" spans="1:6" x14ac:dyDescent="0.35">
      <c r="A7" s="8" t="s">
        <v>35</v>
      </c>
      <c r="B7" s="9">
        <v>210</v>
      </c>
      <c r="C7" s="9">
        <v>195</v>
      </c>
      <c r="D7" s="9">
        <v>225</v>
      </c>
    </row>
    <row r="8" spans="1:6" x14ac:dyDescent="0.35">
      <c r="A8" s="8" t="s">
        <v>36</v>
      </c>
      <c r="B8" s="15">
        <v>14</v>
      </c>
      <c r="C8" s="15">
        <v>11</v>
      </c>
      <c r="D8" s="15">
        <v>16</v>
      </c>
    </row>
    <row r="9" spans="1:6" x14ac:dyDescent="0.35">
      <c r="A9" s="16" t="s">
        <v>37</v>
      </c>
      <c r="B9" s="17">
        <f>(B5*B6)/1000+B7</f>
        <v>790</v>
      </c>
      <c r="C9" s="17">
        <f>(C5*C6)/1000+C7</f>
        <v>739</v>
      </c>
      <c r="D9" s="17">
        <f>(D5*D6)/1000+D7</f>
        <v>823</v>
      </c>
    </row>
    <row r="11" spans="1:6" x14ac:dyDescent="0.35">
      <c r="A11" s="25"/>
      <c r="B11" s="25"/>
      <c r="C11" s="25"/>
      <c r="D11" s="25"/>
      <c r="E11" s="25"/>
      <c r="F11" s="25"/>
    </row>
  </sheetData>
  <mergeCells count="1">
    <mergeCell ref="A11:F1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zoomScaleNormal="100" workbookViewId="0">
      <selection activeCell="A10" sqref="A10"/>
    </sheetView>
  </sheetViews>
  <sheetFormatPr defaultColWidth="8.6328125" defaultRowHeight="14.5" x14ac:dyDescent="0.35"/>
  <cols>
    <col min="1" max="1" width="40" customWidth="1"/>
    <col min="2" max="2" width="18" customWidth="1"/>
    <col min="3" max="3" width="50" customWidth="1"/>
  </cols>
  <sheetData>
    <row r="1" spans="1:2" ht="17.5" x14ac:dyDescent="0.35">
      <c r="A1" s="3" t="s">
        <v>38</v>
      </c>
    </row>
    <row r="2" spans="1:2" x14ac:dyDescent="0.35">
      <c r="A2" s="1" t="s">
        <v>39</v>
      </c>
    </row>
    <row r="4" spans="1:2" x14ac:dyDescent="0.35">
      <c r="A4" s="2" t="s">
        <v>40</v>
      </c>
      <c r="B4" s="6">
        <v>40</v>
      </c>
    </row>
    <row r="5" spans="1:2" x14ac:dyDescent="0.35">
      <c r="A5" s="18" t="s">
        <v>41</v>
      </c>
      <c r="B5" s="15">
        <v>4000</v>
      </c>
    </row>
    <row r="6" spans="1:2" x14ac:dyDescent="0.35">
      <c r="A6" s="18" t="s">
        <v>42</v>
      </c>
      <c r="B6" s="15">
        <v>210</v>
      </c>
    </row>
    <row r="8" spans="1:2" x14ac:dyDescent="0.35">
      <c r="A8" s="2" t="s">
        <v>43</v>
      </c>
      <c r="B8" s="6">
        <v>145</v>
      </c>
    </row>
    <row r="9" spans="1:2" x14ac:dyDescent="0.35">
      <c r="A9" s="19" t="s">
        <v>44</v>
      </c>
      <c r="B9" s="17">
        <f>(B8*B5)/1000+B6</f>
        <v>790</v>
      </c>
    </row>
    <row r="10" spans="1:2" x14ac:dyDescent="0.35">
      <c r="A10" s="1" t="s">
        <v>45</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
  <sheetViews>
    <sheetView tabSelected="1" zoomScaleNormal="100" workbookViewId="0">
      <selection activeCell="A14" sqref="A14:E14"/>
    </sheetView>
  </sheetViews>
  <sheetFormatPr defaultColWidth="8.6328125" defaultRowHeight="14.5" x14ac:dyDescent="0.35"/>
  <cols>
    <col min="1" max="1" width="8" customWidth="1"/>
    <col min="2" max="2" width="42" customWidth="1"/>
    <col min="3" max="3" width="22" customWidth="1"/>
    <col min="4" max="4" width="14" customWidth="1"/>
    <col min="5" max="5" width="65" customWidth="1"/>
  </cols>
  <sheetData>
    <row r="1" spans="1:5" ht="17.5" x14ac:dyDescent="0.35">
      <c r="A1" s="3" t="s">
        <v>46</v>
      </c>
    </row>
    <row r="2" spans="1:5" x14ac:dyDescent="0.35">
      <c r="A2" s="1" t="s">
        <v>47</v>
      </c>
    </row>
    <row r="4" spans="1:5" ht="24" customHeight="1" x14ac:dyDescent="0.35">
      <c r="A4" s="7" t="s">
        <v>48</v>
      </c>
      <c r="B4" s="7" t="s">
        <v>49</v>
      </c>
      <c r="C4" s="7" t="s">
        <v>50</v>
      </c>
      <c r="D4" s="7" t="s">
        <v>51</v>
      </c>
      <c r="E4" s="7" t="s">
        <v>52</v>
      </c>
    </row>
    <row r="5" spans="1:5" ht="45" customHeight="1" x14ac:dyDescent="0.35">
      <c r="A5" s="20">
        <v>1</v>
      </c>
      <c r="B5" s="21" t="s">
        <v>53</v>
      </c>
      <c r="C5" s="22" t="s">
        <v>54</v>
      </c>
      <c r="D5" s="22" t="s">
        <v>55</v>
      </c>
      <c r="E5" s="22" t="s">
        <v>56</v>
      </c>
    </row>
    <row r="6" spans="1:5" ht="45" customHeight="1" x14ac:dyDescent="0.35">
      <c r="A6" s="20">
        <v>2</v>
      </c>
      <c r="B6" s="21" t="s">
        <v>57</v>
      </c>
      <c r="C6" s="22" t="s">
        <v>58</v>
      </c>
      <c r="D6" s="22" t="s">
        <v>59</v>
      </c>
      <c r="E6" s="22" t="s">
        <v>60</v>
      </c>
    </row>
    <row r="7" spans="1:5" ht="45" customHeight="1" x14ac:dyDescent="0.35">
      <c r="A7" s="20">
        <v>3</v>
      </c>
      <c r="B7" s="21" t="s">
        <v>61</v>
      </c>
      <c r="C7" s="22" t="s">
        <v>62</v>
      </c>
      <c r="D7" s="22" t="s">
        <v>63</v>
      </c>
      <c r="E7" s="22" t="s">
        <v>64</v>
      </c>
    </row>
    <row r="8" spans="1:5" ht="45" customHeight="1" x14ac:dyDescent="0.35">
      <c r="A8" s="20">
        <v>4</v>
      </c>
      <c r="B8" s="21" t="s">
        <v>65</v>
      </c>
      <c r="C8" s="22" t="s">
        <v>66</v>
      </c>
      <c r="D8" s="22" t="s">
        <v>59</v>
      </c>
      <c r="E8" s="22" t="s">
        <v>67</v>
      </c>
    </row>
    <row r="9" spans="1:5" ht="45" customHeight="1" x14ac:dyDescent="0.35">
      <c r="A9" s="20">
        <v>5</v>
      </c>
      <c r="B9" s="21" t="s">
        <v>68</v>
      </c>
      <c r="C9" s="22" t="s">
        <v>69</v>
      </c>
      <c r="D9" s="22" t="s">
        <v>70</v>
      </c>
      <c r="E9" s="22" t="s">
        <v>71</v>
      </c>
    </row>
    <row r="10" spans="1:5" ht="45" customHeight="1" x14ac:dyDescent="0.35">
      <c r="A10" s="20">
        <v>6</v>
      </c>
      <c r="B10" s="21" t="s">
        <v>72</v>
      </c>
      <c r="C10" s="22" t="s">
        <v>73</v>
      </c>
      <c r="D10" s="22" t="s">
        <v>74</v>
      </c>
      <c r="E10" s="22" t="s">
        <v>75</v>
      </c>
    </row>
    <row r="11" spans="1:5" ht="60" customHeight="1" x14ac:dyDescent="0.35">
      <c r="A11" s="20">
        <v>7</v>
      </c>
      <c r="B11" s="21" t="s">
        <v>76</v>
      </c>
      <c r="C11" s="22" t="s">
        <v>77</v>
      </c>
      <c r="D11" s="22" t="s">
        <v>78</v>
      </c>
      <c r="E11" s="22" t="s">
        <v>79</v>
      </c>
    </row>
    <row r="12" spans="1:5" ht="60" customHeight="1" x14ac:dyDescent="0.35">
      <c r="A12" s="20">
        <v>8</v>
      </c>
      <c r="B12" s="21" t="s">
        <v>80</v>
      </c>
      <c r="C12" s="22" t="s">
        <v>81</v>
      </c>
      <c r="D12" s="22" t="s">
        <v>82</v>
      </c>
      <c r="E12" s="22" t="s">
        <v>83</v>
      </c>
    </row>
    <row r="14" spans="1:5" ht="30" customHeight="1" x14ac:dyDescent="0.35">
      <c r="A14" s="26" t="s">
        <v>84</v>
      </c>
      <c r="B14" s="24"/>
      <c r="C14" s="24"/>
      <c r="D14" s="24"/>
      <c r="E14" s="24"/>
    </row>
  </sheetData>
  <mergeCells count="1">
    <mergeCell ref="A14:E14"/>
  </mergeCells>
  <hyperlinks>
    <hyperlink ref="B5" r:id="rId1" xr:uid="{00000000-0004-0000-0400-000000000000}"/>
    <hyperlink ref="B6" r:id="rId2" xr:uid="{00000000-0004-0000-0400-000001000000}"/>
    <hyperlink ref="B7" r:id="rId3" xr:uid="{00000000-0004-0000-0400-000002000000}"/>
    <hyperlink ref="B8" r:id="rId4" xr:uid="{00000000-0004-0000-0400-000003000000}"/>
    <hyperlink ref="B9" r:id="rId5" xr:uid="{00000000-0004-0000-0400-000004000000}"/>
    <hyperlink ref="B10" r:id="rId6" xr:uid="{00000000-0004-0000-0400-000005000000}"/>
    <hyperlink ref="B11" r:id="rId7" xr:uid="{00000000-0004-0000-0400-000006000000}"/>
    <hyperlink ref="B12" r:id="rId8" xr:uid="{00000000-0004-0000-0400-000007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Budget Tracker</vt:lpstr>
      <vt:lpstr>Contractor Bid Comparison</vt:lpstr>
      <vt:lpstr>Goal Seek Setup</vt:lpstr>
      <vt:lpstr>Bibliography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Eat Eat</cp:lastModifiedBy>
  <cp:revision>0</cp:revision>
  <dcterms:created xsi:type="dcterms:W3CDTF">2026-08-17T09:12:43Z</dcterms:created>
  <dcterms:modified xsi:type="dcterms:W3CDTF">2026-10-27T01:46:29Z</dcterms:modified>
  <dc:language>en-US</dc:language>
</cp:coreProperties>
</file>